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finished Work" sheetId="1" state="visible" r:id="rId3"/>
    <sheet name="Repo Cleanup" sheetId="2" state="visible" r:id="rId4"/>
    <sheet name="Testing Gaps" sheetId="3" state="visible" r:id="rId5"/>
  </sheets>
  <definedNames>
    <definedName function="false" hidden="true" localSheetId="1" name="_xlnm._FilterDatabase" vbProcedure="false">'Repo Cleanup'!$A$1:$E$28</definedName>
    <definedName function="false" hidden="true" localSheetId="0" name="_xlnm._FilterDatabase" vbProcedure="false">'Unfinished Work'!$A$1:$H$28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<sst xmlns="http://schemas.openxmlformats.org/spreadsheetml/2006/main" count="388" uniqueCount="195">
  <si>
    <t xml:space="preserve">ID</t>
  </si>
  <si>
    <t xml:space="preserve">Priority</t>
  </si>
  <si>
    <t xml:space="preserve">Category</t>
  </si>
  <si>
    <t xml:space="preserve">Item</t>
  </si>
  <si>
    <t xml:space="preserve">Source File</t>
  </si>
  <si>
    <t xml:space="preserve">Effort Est.</t>
  </si>
  <si>
    <t xml:space="preserve">Status</t>
  </si>
  <si>
    <t xml:space="preserve">Notes</t>
  </si>
  <si>
    <t xml:space="preserve">BUG-A1</t>
  </si>
  <si>
    <t xml:space="preserve">CRITICAL</t>
  </si>
  <si>
    <t xml:space="preserve">Bug</t>
  </si>
  <si>
    <t xml:space="preserve">Archetype required but unmarked — silently blocks "Create Story"</t>
  </si>
  <si>
    <t xml:space="preserve">hero_creator_step.dart</t>
  </si>
  <si>
    <t xml:space="preserve">1-2 hrs</t>
  </si>
  <si>
    <t xml:space="preserve">Open</t>
  </si>
  <si>
    <t xml:space="preserve">Affects Creator + Adolescent bands</t>
  </si>
  <si>
    <t xml:space="preserve">B2</t>
  </si>
  <si>
    <t xml:space="preserve">Companion assets load from wrong folder (adventurer/) for older bands</t>
  </si>
  <si>
    <t xml:space="preserve">companion_selector_step.dart</t>
  </si>
  <si>
    <t xml:space="preserve">2-3 hrs</t>
  </si>
  <si>
    <t xml:space="preserve">Assigned to Gemini Antigravity</t>
  </si>
  <si>
    <t xml:space="preserve">H1</t>
  </si>
  <si>
    <t xml:space="preserve">Scenario card images 404 in production</t>
  </si>
  <si>
    <t xml:space="preserve">assets/images/scenarios/</t>
  </si>
  <si>
    <t xml:space="preserve">H2</t>
  </si>
  <si>
    <t xml:space="preserve">TypeError during wizard (cannot read toString of undefined)</t>
  </si>
  <si>
    <t xml:space="preserve">wizard flow</t>
  </si>
  <si>
    <t xml:space="preserve">2-4 hrs</t>
  </si>
  <si>
    <t xml:space="preserve">H3</t>
  </si>
  <si>
    <t xml:space="preserve">Infra</t>
  </si>
  <si>
    <t xml:space="preserve">No live Gemini health probe — only checks config</t>
  </si>
  <si>
    <t xml:space="preserve">health endpoints</t>
  </si>
  <si>
    <t xml:space="preserve">Assigned to Codex</t>
  </si>
  <si>
    <t xml:space="preserve">H4</t>
  </si>
  <si>
    <t xml:space="preserve">Testing</t>
  </si>
  <si>
    <t xml:space="preserve">Production smoke tests not re-run after CORS fix</t>
  </si>
  <si>
    <t xml:space="preserve">CI/CD</t>
  </si>
  <si>
    <t xml:space="preserve">C-1</t>
  </si>
  <si>
    <t xml:space="preserve">UX</t>
  </si>
  <si>
    <t xml:space="preserve">Archetype chips white-on-white (unreadable) — M3 theme bug</t>
  </si>
  <si>
    <t xml:space="preserve">hero_creator_step.dart ~L3428</t>
  </si>
  <si>
    <t xml:space="preserve">Creator band</t>
  </si>
  <si>
    <t xml:space="preserve">C-2</t>
  </si>
  <si>
    <t xml:space="preserve">Review avatar overflow — yellow-black stripe "ERFLOWED P"</t>
  </si>
  <si>
    <t xml:space="preserve">magic_review_step.dart:1940</t>
  </si>
  <si>
    <t xml:space="preserve">&lt; 1 hr</t>
  </si>
  <si>
    <t xml:space="preserve">One-line fix: Clip.hardEdge</t>
  </si>
  <si>
    <t xml:space="preserve">S-2</t>
  </si>
  <si>
    <t xml:space="preserve">HIGH</t>
  </si>
  <si>
    <t xml:space="preserve">Step nav tabs non-functional — tap changes indicator but no scroll</t>
  </si>
  <si>
    <t xml:space="preserve">S-3</t>
  </si>
  <si>
    <t xml:space="preserve">Setting selection binding off-by-one on review</t>
  </si>
  <si>
    <t xml:space="preserve">magic_review_step.dart</t>
  </si>
  <si>
    <t xml:space="preserve">User picks X, review shows Y</t>
  </si>
  <si>
    <t xml:space="preserve">M-1</t>
  </si>
  <si>
    <t xml:space="preserve">Legal</t>
  </si>
  <si>
    <t xml:space="preserve">Name entry appears BEFORE parental consent (COPPA risk)</t>
  </si>
  <si>
    <t xml:space="preserve">screen flow</t>
  </si>
  <si>
    <t xml:space="preserve">Reorder: age &gt; consent &gt; name &gt; wizard</t>
  </si>
  <si>
    <t xml:space="preserve">CI-1</t>
  </si>
  <si>
    <t xml:space="preserve">CI/CD pipeline broken — dependency mismatch + test paths wrong</t>
  </si>
  <si>
    <t xml:space="preserve">GitHub Actions</t>
  </si>
  <si>
    <t xml:space="preserve">S-1</t>
  </si>
  <si>
    <t xml:space="preserve">MEDIUM</t>
  </si>
  <si>
    <t xml:space="preserve">Companions section absent from Creator band</t>
  </si>
  <si>
    <t xml:space="preserve">Deferred</t>
  </si>
  <si>
    <t xml:space="preserve">UX-A1</t>
  </si>
  <si>
    <t xml:space="preserve">Wizard background wrong color for Adolescent (hardcoded purple)</t>
  </si>
  <si>
    <t xml:space="preserve">wizard_story_screen.dart</t>
  </si>
  <si>
    <t xml:space="preserve">1-line fix</t>
  </si>
  <si>
    <t xml:space="preserve">UX-A2</t>
  </si>
  <si>
    <t xml:space="preserve">"ADVENTURE TEAM" label — age-regressive for 16yo</t>
  </si>
  <si>
    <t xml:space="preserve">Rename to "Cast"</t>
  </si>
  <si>
    <t xml:space="preserve">UX-A3</t>
  </si>
  <si>
    <t xml:space="preserve">Adolescent band identical to Creator — no differentiation</t>
  </si>
  <si>
    <t xml:space="preserve">3-4 hrs</t>
  </si>
  <si>
    <t xml:space="preserve">UX-A4</t>
  </si>
  <si>
    <t xml:space="preserve">No genre/tone selection for Adolescent band</t>
  </si>
  <si>
    <t xml:space="preserve">Add tone chip row</t>
  </si>
  <si>
    <t xml:space="preserve">UX-A5</t>
  </si>
  <si>
    <t xml:space="preserve">Character-desire prompt missing on Adolescent (Creator-only guard)</t>
  </si>
  <si>
    <t xml:space="preserve">Remove isCreator guard</t>
  </si>
  <si>
    <t xml:space="preserve">BUG-A2</t>
  </si>
  <si>
    <t xml:space="preserve">Review shows "—" for missing archetype/scenario</t>
  </si>
  <si>
    <t xml:space="preserve">1 hr</t>
  </si>
  <si>
    <t xml:space="preserve">ISAR</t>
  </si>
  <si>
    <t xml:space="preserve">Code</t>
  </si>
  <si>
    <t xml:space="preserve">7 TODOs: Isar web support disabled — avatar persistence broken on web</t>
  </si>
  <si>
    <t xml:space="preserve">avatar_service.dart</t>
  </si>
  <si>
    <t xml:space="preserve">Blocked</t>
  </si>
  <si>
    <t xml:space="preserve">Waiting on Isar library</t>
  </si>
  <si>
    <t xml:space="preserve">MR-1</t>
  </si>
  <si>
    <t xml:space="preserve">LOW</t>
  </si>
  <si>
    <t xml:space="preserve">Summary card accent borders (blue/gold/purple/pink)</t>
  </si>
  <si>
    <t xml:space="preserve">Not Started</t>
  </si>
  <si>
    <t xml:space="preserve">Visual polish</t>
  </si>
  <si>
    <t xml:space="preserve">MR-2</t>
  </si>
  <si>
    <t xml:space="preserve">Summary card shimmer animation</t>
  </si>
  <si>
    <t xml:space="preserve">MR-3</t>
  </si>
  <si>
    <t xml:space="preserve">Stagger-reveal animation for summary rows</t>
  </si>
  <si>
    <t xml:space="preserve">MR-4</t>
  </si>
  <si>
    <t xml:space="preserve">Companion avatar thumbnails inline on review</t>
  </si>
  <si>
    <t xml:space="preserve">ADULT-1</t>
  </si>
  <si>
    <t xml:space="preserve">Feature</t>
  </si>
  <si>
    <t xml:space="preserve">Adult World Bible for top 3 scenarios</t>
  </si>
  <si>
    <t xml:space="preserve">story engine</t>
  </si>
  <si>
    <t xml:space="preserve">ADULT-2</t>
  </si>
  <si>
    <t xml:space="preserve">Adult Thematic Question field + UI</t>
  </si>
  <si>
    <t xml:space="preserve">ADULT-3</t>
  </si>
  <si>
    <t xml:space="preserve">Adult meditation section (zero emotional support flow)</t>
  </si>
  <si>
    <t xml:space="preserve">new screen</t>
  </si>
  <si>
    <t xml:space="preserve">6-8 hrs</t>
  </si>
  <si>
    <t xml:space="preserve">SUMMARY</t>
  </si>
  <si>
    <t xml:space="preserve">Critical</t>
  </si>
  <si>
    <t xml:space="preserve">High</t>
  </si>
  <si>
    <t xml:space="preserve">Medium</t>
  </si>
  <si>
    <t xml:space="preserve">Action</t>
  </si>
  <si>
    <t xml:space="preserve">Zero-byte files</t>
  </si>
  <si>
    <t xml:space="preserve">characters.db</t>
  </si>
  <si>
    <t xml:space="preserve">Delete</t>
  </si>
  <si>
    <t xml:space="preserve">Empty, unused</t>
  </si>
  <si>
    <t xml:space="preserve">devstory-weaver-appbackendapp.db</t>
  </si>
  <si>
    <t xml:space="preserve">Malformed filename, 0 bytes</t>
  </si>
  <si>
    <t xml:space="preserve">devstory-weaver-appinstanceapp.db</t>
  </si>
  <si>
    <t xml:space="preserve">conflict_resolution_data.dart</t>
  </si>
  <si>
    <t xml:space="preserve">Windows artifacts</t>
  </si>
  <si>
    <t xml:space="preserve">New folder/</t>
  </si>
  <si>
    <t xml:space="preserve">Empty — just desktop.ini</t>
  </si>
  <si>
    <t xml:space="preserve">New folder (2)/</t>
  </si>
  <si>
    <t xml:space="preserve">Stale files</t>
  </si>
  <si>
    <t xml:space="preserve">commit_msg.txt</t>
  </si>
  <si>
    <t xml:space="preserve">Old commit message</t>
  </si>
  <si>
    <t xml:space="preserve">.git-commit-msg.txt</t>
  </si>
  <si>
    <t xml:space="preserve">avatar_luna_20251223_084527.png (1.6MB)</t>
  </si>
  <si>
    <t xml:space="preserve">Dated test avatar</t>
  </si>
  <si>
    <t xml:space="preserve">thePlaceholderImageBeforeCharacterGeneration.jpeg</t>
  </si>
  <si>
    <t xml:space="preserve">Placeholder, 553KB</t>
  </si>
  <si>
    <t xml:space="preserve">Root sprawl</t>
  </si>
  <si>
    <t xml:space="preserve">18 generate_*.py scripts</t>
  </si>
  <si>
    <t xml:space="preserve">Move to scripts/generation/</t>
  </si>
  <si>
    <t xml:space="preserve">Asset generation scripts</t>
  </si>
  <si>
    <t xml:space="preserve">26 test_*.py / run_*.py scripts</t>
  </si>
  <si>
    <t xml:space="preserve">Move to scripts/testing/</t>
  </si>
  <si>
    <t xml:space="preserve">Test &amp; verification scripts</t>
  </si>
  <si>
    <t xml:space="preserve">10 debug/check/extract scripts</t>
  </si>
  <si>
    <t xml:space="preserve">Move to scripts/debug/</t>
  </si>
  <si>
    <t xml:space="preserve">Debug &amp; diagnostic tools</t>
  </si>
  <si>
    <t xml:space="preserve">17 setup/fix/utility scripts</t>
  </si>
  <si>
    <t xml:space="preserve">Move to scripts/util/</t>
  </si>
  <si>
    <t xml:space="preserve">Setup, fix, audit scripts</t>
  </si>
  <si>
    <t xml:space="preserve">6 .bat/.sh maintenance scripts</t>
  </si>
  <si>
    <t xml:space="preserve">Move to scripts/maintenance/</t>
  </si>
  <si>
    <t xml:space="preserve">Git/branch cleanup scripts</t>
  </si>
  <si>
    <t xml:space="preserve">Misplaced files</t>
  </si>
  <si>
    <t xml:space="preserve">full_image_replacement_prompts.md</t>
  </si>
  <si>
    <t xml:space="preserve">Move to docs/</t>
  </si>
  <si>
    <t xml:space="preserve">gemini_prompts_only.md</t>
  </si>
  <si>
    <t xml:space="preserve">step1-8.png screenshots</t>
  </si>
  <si>
    <t xml:space="preserve">Move to docs/screenshots/</t>
  </si>
  <si>
    <t xml:space="preserve">~1.7MB total</t>
  </si>
  <si>
    <t xml:space="preserve">fresh_load.png</t>
  </si>
  <si>
    <t xml:space="preserve">Doc sprawl</t>
  </si>
  <si>
    <t xml:space="preserve">10+ deployment guides → 1 DEPLOYMENT_GUIDE.md</t>
  </si>
  <si>
    <t xml:space="preserve">Consolidate</t>
  </si>
  <si>
    <t xml:space="preserve">Keep latest, archive rest</t>
  </si>
  <si>
    <t xml:space="preserve">16 test reports → 1 TEST_RESULTS.md</t>
  </si>
  <si>
    <t xml:space="preserve">10 session handoffs → archive older ones</t>
  </si>
  <si>
    <t xml:space="preserve">Archive</t>
  </si>
  <si>
    <t xml:space="preserve">Keep only current + SESSION_HISTORY</t>
  </si>
  <si>
    <t xml:space="preserve">14 avatar docs → 2-3 comprehensive guides</t>
  </si>
  <si>
    <t xml:space="preserve">Duplicate API.md + API_ENDPOINTS.md</t>
  </si>
  <si>
    <t xml:space="preserve">Merge</t>
  </si>
  <si>
    <t xml:space="preserve">Total: 194 docs → target ~50</t>
  </si>
  <si>
    <t xml:space="preserve">Full audit</t>
  </si>
  <si>
    <t xml:space="preserve">Major project</t>
  </si>
  <si>
    <t xml:space="preserve">Stale docs</t>
  </si>
  <si>
    <t xml:space="preserve">PROJECT_STATUS.md (last updated Nov 2025)</t>
  </si>
  <si>
    <t xml:space="preserve">Update</t>
  </si>
  <si>
    <t xml:space="preserve">5 months stale</t>
  </si>
  <si>
    <t xml:space="preserve">SESSION_HISTORY.md (last entry Mar 6)</t>
  </si>
  <si>
    <t xml:space="preserve">5 weeks stale</t>
  </si>
  <si>
    <t xml:space="preserve">Tests Needed</t>
  </si>
  <si>
    <t xml:space="preserve">Integration Tests</t>
  </si>
  <si>
    <t xml:space="preserve">8-12 hrs</t>
  </si>
  <si>
    <t xml:space="preserve">Frontend Screen Tests</t>
  </si>
  <si>
    <t xml:space="preserve">Performance Tests</t>
  </si>
  <si>
    <t xml:space="preserve">Service Tests</t>
  </si>
  <si>
    <t xml:space="preserve">4-6 hrs</t>
  </si>
  <si>
    <t xml:space="preserve">Cross-Browser Tests</t>
  </si>
  <si>
    <t xml:space="preserve">Accessibility Tests</t>
  </si>
  <si>
    <t xml:space="preserve">4-5 hrs</t>
  </si>
  <si>
    <t xml:space="preserve">Security Hardening</t>
  </si>
  <si>
    <t xml:space="preserve">Content Quality (15 stories)</t>
  </si>
  <si>
    <t xml:space="preserve">TOTAL TESTS</t>
  </si>
  <si>
    <t xml:space="preserve">~50-65 hrs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</si>
</sst>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B82F6"/>
      <rgbColor rgb="FF33CCCC"/>
      <rgbColor rgb="FF99CC00"/>
      <rgbColor rgb="FFFFCC00"/>
      <rgbColor rgb="FFF59E0B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false"/>
  </sheetPr>
  <dimension ref="A1:H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5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5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</row>
    <row r="3" customFormat="false" ht="23.85" hidden="false" customHeight="false" outlineLevel="0" collapsed="false">
      <c r="A3" s="2" t="s">
        <v>16</v>
      </c>
      <c r="B3" s="2" t="s">
        <v>9</v>
      </c>
      <c r="C3" s="2" t="s">
        <v>10</v>
      </c>
      <c r="D3" s="2" t="s">
        <v>17</v>
      </c>
      <c r="E3" s="2" t="s">
        <v>18</v>
      </c>
      <c r="F3" s="2" t="s">
        <v>19</v>
      </c>
      <c r="G3" s="2" t="s">
        <v>14</v>
      </c>
      <c r="H3" s="2" t="s">
        <v>20</v>
      </c>
    </row>
    <row r="4" customFormat="false" ht="15" hidden="false" customHeight="false" outlineLevel="0" collapsed="false">
      <c r="A4" s="2" t="s">
        <v>21</v>
      </c>
      <c r="B4" s="2" t="s">
        <v>9</v>
      </c>
      <c r="C4" s="2" t="s">
        <v>10</v>
      </c>
      <c r="D4" s="2" t="s">
        <v>22</v>
      </c>
      <c r="E4" s="2" t="s">
        <v>23</v>
      </c>
      <c r="F4" s="2" t="s">
        <v>19</v>
      </c>
      <c r="G4" s="2" t="s">
        <v>14</v>
      </c>
      <c r="H4" s="2"/>
    </row>
    <row r="5" customFormat="false" ht="15" hidden="false" customHeight="false" outlineLevel="0" collapsed="false">
      <c r="A5" s="2" t="s">
        <v>24</v>
      </c>
      <c r="B5" s="2" t="s">
        <v>9</v>
      </c>
      <c r="C5" s="2" t="s">
        <v>10</v>
      </c>
      <c r="D5" s="2" t="s">
        <v>25</v>
      </c>
      <c r="E5" s="2" t="s">
        <v>26</v>
      </c>
      <c r="F5" s="2" t="s">
        <v>27</v>
      </c>
      <c r="G5" s="2" t="s">
        <v>14</v>
      </c>
      <c r="H5" s="2"/>
    </row>
    <row r="6" customFormat="false" ht="15" hidden="false" customHeight="false" outlineLevel="0" collapsed="false">
      <c r="A6" s="2" t="s">
        <v>28</v>
      </c>
      <c r="B6" s="2" t="s">
        <v>9</v>
      </c>
      <c r="C6" s="2" t="s">
        <v>29</v>
      </c>
      <c r="D6" s="2" t="s">
        <v>30</v>
      </c>
      <c r="E6" s="2" t="s">
        <v>31</v>
      </c>
      <c r="F6" s="2" t="s">
        <v>19</v>
      </c>
      <c r="G6" s="2" t="s">
        <v>14</v>
      </c>
      <c r="H6" s="2" t="s">
        <v>32</v>
      </c>
    </row>
    <row r="7" customFormat="false" ht="15" hidden="false" customHeight="false" outlineLevel="0" collapsed="false">
      <c r="A7" s="2" t="s">
        <v>33</v>
      </c>
      <c r="B7" s="2" t="s">
        <v>9</v>
      </c>
      <c r="C7" s="2" t="s">
        <v>34</v>
      </c>
      <c r="D7" s="2" t="s">
        <v>35</v>
      </c>
      <c r="E7" s="2" t="s">
        <v>36</v>
      </c>
      <c r="F7" s="2" t="s">
        <v>13</v>
      </c>
      <c r="G7" s="2" t="s">
        <v>14</v>
      </c>
      <c r="H7" s="2"/>
    </row>
    <row r="8" customFormat="false" ht="15" hidden="false" customHeight="false" outlineLevel="0" collapsed="false">
      <c r="A8" s="2" t="s">
        <v>37</v>
      </c>
      <c r="B8" s="2" t="s">
        <v>9</v>
      </c>
      <c r="C8" s="2" t="s">
        <v>38</v>
      </c>
      <c r="D8" s="2" t="s">
        <v>39</v>
      </c>
      <c r="E8" s="2" t="s">
        <v>40</v>
      </c>
      <c r="F8" s="2" t="s">
        <v>13</v>
      </c>
      <c r="G8" s="2" t="s">
        <v>14</v>
      </c>
      <c r="H8" s="2" t="s">
        <v>41</v>
      </c>
    </row>
    <row r="9" customFormat="false" ht="15" hidden="false" customHeight="false" outlineLevel="0" collapsed="false">
      <c r="A9" s="2" t="s">
        <v>42</v>
      </c>
      <c r="B9" s="2" t="s">
        <v>9</v>
      </c>
      <c r="C9" s="2" t="s">
        <v>38</v>
      </c>
      <c r="D9" s="2" t="s">
        <v>43</v>
      </c>
      <c r="E9" s="2" t="s">
        <v>44</v>
      </c>
      <c r="F9" s="2" t="s">
        <v>45</v>
      </c>
      <c r="G9" s="2" t="s">
        <v>14</v>
      </c>
      <c r="H9" s="2" t="s">
        <v>46</v>
      </c>
    </row>
    <row r="10" customFormat="false" ht="15" hidden="false" customHeight="false" outlineLevel="0" collapsed="false">
      <c r="A10" s="3" t="s">
        <v>47</v>
      </c>
      <c r="B10" s="3" t="s">
        <v>48</v>
      </c>
      <c r="C10" s="3" t="s">
        <v>38</v>
      </c>
      <c r="D10" s="3" t="s">
        <v>49</v>
      </c>
      <c r="E10" s="3" t="s">
        <v>12</v>
      </c>
      <c r="F10" s="3" t="s">
        <v>19</v>
      </c>
      <c r="G10" s="3" t="s">
        <v>14</v>
      </c>
      <c r="H10" s="3"/>
    </row>
    <row r="11" customFormat="false" ht="15" hidden="false" customHeight="false" outlineLevel="0" collapsed="false">
      <c r="A11" s="3" t="s">
        <v>50</v>
      </c>
      <c r="B11" s="3" t="s">
        <v>48</v>
      </c>
      <c r="C11" s="3" t="s">
        <v>38</v>
      </c>
      <c r="D11" s="3" t="s">
        <v>51</v>
      </c>
      <c r="E11" s="3" t="s">
        <v>52</v>
      </c>
      <c r="F11" s="3" t="s">
        <v>19</v>
      </c>
      <c r="G11" s="3" t="s">
        <v>14</v>
      </c>
      <c r="H11" s="3" t="s">
        <v>53</v>
      </c>
    </row>
    <row r="12" customFormat="false" ht="15" hidden="false" customHeight="false" outlineLevel="0" collapsed="false">
      <c r="A12" s="3" t="s">
        <v>54</v>
      </c>
      <c r="B12" s="3" t="s">
        <v>48</v>
      </c>
      <c r="C12" s="3" t="s">
        <v>55</v>
      </c>
      <c r="D12" s="3" t="s">
        <v>56</v>
      </c>
      <c r="E12" s="3" t="s">
        <v>57</v>
      </c>
      <c r="F12" s="3" t="s">
        <v>13</v>
      </c>
      <c r="G12" s="3" t="s">
        <v>14</v>
      </c>
      <c r="H12" s="3" t="s">
        <v>58</v>
      </c>
    </row>
    <row r="13" customFormat="false" ht="15" hidden="false" customHeight="false" outlineLevel="0" collapsed="false">
      <c r="A13" s="3" t="s">
        <v>59</v>
      </c>
      <c r="B13" s="3" t="s">
        <v>48</v>
      </c>
      <c r="C13" s="3" t="s">
        <v>29</v>
      </c>
      <c r="D13" s="3" t="s">
        <v>60</v>
      </c>
      <c r="E13" s="3" t="s">
        <v>61</v>
      </c>
      <c r="F13" s="3" t="s">
        <v>19</v>
      </c>
      <c r="G13" s="3" t="s">
        <v>14</v>
      </c>
      <c r="H13" s="3"/>
    </row>
    <row r="14" customFormat="false" ht="15" hidden="false" customHeight="false" outlineLevel="0" collapsed="false">
      <c r="A14" s="4" t="s">
        <v>62</v>
      </c>
      <c r="B14" s="4" t="s">
        <v>63</v>
      </c>
      <c r="C14" s="4" t="s">
        <v>38</v>
      </c>
      <c r="D14" s="4" t="s">
        <v>64</v>
      </c>
      <c r="E14" s="4" t="s">
        <v>12</v>
      </c>
      <c r="F14" s="4" t="s">
        <v>19</v>
      </c>
      <c r="G14" s="4" t="s">
        <v>65</v>
      </c>
      <c r="H14" s="4"/>
    </row>
    <row r="15" customFormat="false" ht="15" hidden="false" customHeight="false" outlineLevel="0" collapsed="false">
      <c r="A15" s="4" t="s">
        <v>66</v>
      </c>
      <c r="B15" s="4" t="s">
        <v>63</v>
      </c>
      <c r="C15" s="4" t="s">
        <v>38</v>
      </c>
      <c r="D15" s="4" t="s">
        <v>67</v>
      </c>
      <c r="E15" s="4" t="s">
        <v>68</v>
      </c>
      <c r="F15" s="4" t="s">
        <v>45</v>
      </c>
      <c r="G15" s="4" t="s">
        <v>65</v>
      </c>
      <c r="H15" s="4" t="s">
        <v>69</v>
      </c>
    </row>
    <row r="16" customFormat="false" ht="15" hidden="false" customHeight="false" outlineLevel="0" collapsed="false">
      <c r="A16" s="4" t="s">
        <v>70</v>
      </c>
      <c r="B16" s="4" t="s">
        <v>63</v>
      </c>
      <c r="C16" s="4" t="s">
        <v>38</v>
      </c>
      <c r="D16" s="4" t="s">
        <v>71</v>
      </c>
      <c r="E16" s="4" t="s">
        <v>12</v>
      </c>
      <c r="F16" s="4" t="s">
        <v>45</v>
      </c>
      <c r="G16" s="4" t="s">
        <v>65</v>
      </c>
      <c r="H16" s="4" t="s">
        <v>72</v>
      </c>
    </row>
    <row r="17" customFormat="false" ht="15" hidden="false" customHeight="false" outlineLevel="0" collapsed="false">
      <c r="A17" s="4" t="s">
        <v>73</v>
      </c>
      <c r="B17" s="4" t="s">
        <v>63</v>
      </c>
      <c r="C17" s="4" t="s">
        <v>38</v>
      </c>
      <c r="D17" s="4" t="s">
        <v>74</v>
      </c>
      <c r="E17" s="4" t="s">
        <v>26</v>
      </c>
      <c r="F17" s="4" t="s">
        <v>75</v>
      </c>
      <c r="G17" s="4" t="s">
        <v>65</v>
      </c>
      <c r="H17" s="4"/>
    </row>
    <row r="18" customFormat="false" ht="15" hidden="false" customHeight="false" outlineLevel="0" collapsed="false">
      <c r="A18" s="4" t="s">
        <v>76</v>
      </c>
      <c r="B18" s="4" t="s">
        <v>63</v>
      </c>
      <c r="C18" s="4" t="s">
        <v>38</v>
      </c>
      <c r="D18" s="4" t="s">
        <v>77</v>
      </c>
      <c r="E18" s="4" t="s">
        <v>12</v>
      </c>
      <c r="F18" s="4" t="s">
        <v>13</v>
      </c>
      <c r="G18" s="4" t="s">
        <v>65</v>
      </c>
      <c r="H18" s="4" t="s">
        <v>78</v>
      </c>
    </row>
    <row r="19" customFormat="false" ht="23.85" hidden="false" customHeight="false" outlineLevel="0" collapsed="false">
      <c r="A19" s="4" t="s">
        <v>79</v>
      </c>
      <c r="B19" s="4" t="s">
        <v>63</v>
      </c>
      <c r="C19" s="4" t="s">
        <v>38</v>
      </c>
      <c r="D19" s="4" t="s">
        <v>80</v>
      </c>
      <c r="E19" s="4" t="s">
        <v>12</v>
      </c>
      <c r="F19" s="4" t="s">
        <v>45</v>
      </c>
      <c r="G19" s="4" t="s">
        <v>65</v>
      </c>
      <c r="H19" s="4" t="s">
        <v>81</v>
      </c>
    </row>
    <row r="20" customFormat="false" ht="15" hidden="false" customHeight="false" outlineLevel="0" collapsed="false">
      <c r="A20" s="4" t="s">
        <v>82</v>
      </c>
      <c r="B20" s="4" t="s">
        <v>63</v>
      </c>
      <c r="C20" s="4" t="s">
        <v>38</v>
      </c>
      <c r="D20" s="4" t="s">
        <v>83</v>
      </c>
      <c r="E20" s="4" t="s">
        <v>52</v>
      </c>
      <c r="F20" s="4" t="s">
        <v>84</v>
      </c>
      <c r="G20" s="4" t="s">
        <v>65</v>
      </c>
      <c r="H20" s="4"/>
    </row>
    <row r="21" customFormat="false" ht="23.85" hidden="false" customHeight="false" outlineLevel="0" collapsed="false">
      <c r="A21" s="4" t="s">
        <v>85</v>
      </c>
      <c r="B21" s="4" t="s">
        <v>63</v>
      </c>
      <c r="C21" s="4" t="s">
        <v>86</v>
      </c>
      <c r="D21" s="4" t="s">
        <v>87</v>
      </c>
      <c r="E21" s="4" t="s">
        <v>88</v>
      </c>
      <c r="F21" s="4" t="s">
        <v>89</v>
      </c>
      <c r="G21" s="4" t="s">
        <v>89</v>
      </c>
      <c r="H21" s="4" t="s">
        <v>90</v>
      </c>
    </row>
    <row r="22" customFormat="false" ht="15" hidden="false" customHeight="false" outlineLevel="0" collapsed="false">
      <c r="A22" s="5" t="s">
        <v>91</v>
      </c>
      <c r="B22" s="5" t="s">
        <v>92</v>
      </c>
      <c r="C22" s="5" t="s">
        <v>38</v>
      </c>
      <c r="D22" s="5" t="s">
        <v>93</v>
      </c>
      <c r="E22" s="5" t="s">
        <v>52</v>
      </c>
      <c r="F22" s="5" t="s">
        <v>13</v>
      </c>
      <c r="G22" s="5" t="s">
        <v>94</v>
      </c>
      <c r="H22" s="5" t="s">
        <v>95</v>
      </c>
    </row>
    <row r="23" customFormat="false" ht="15" hidden="false" customHeight="false" outlineLevel="0" collapsed="false">
      <c r="A23" s="5" t="s">
        <v>96</v>
      </c>
      <c r="B23" s="5" t="s">
        <v>92</v>
      </c>
      <c r="C23" s="5" t="s">
        <v>38</v>
      </c>
      <c r="D23" s="5" t="s">
        <v>97</v>
      </c>
      <c r="E23" s="5" t="s">
        <v>52</v>
      </c>
      <c r="F23" s="5" t="s">
        <v>13</v>
      </c>
      <c r="G23" s="5" t="s">
        <v>94</v>
      </c>
      <c r="H23" s="5"/>
    </row>
    <row r="24" customFormat="false" ht="15" hidden="false" customHeight="false" outlineLevel="0" collapsed="false">
      <c r="A24" s="5" t="s">
        <v>98</v>
      </c>
      <c r="B24" s="5" t="s">
        <v>92</v>
      </c>
      <c r="C24" s="5" t="s">
        <v>38</v>
      </c>
      <c r="D24" s="5" t="s">
        <v>99</v>
      </c>
      <c r="E24" s="5" t="s">
        <v>52</v>
      </c>
      <c r="F24" s="5" t="s">
        <v>84</v>
      </c>
      <c r="G24" s="5" t="s">
        <v>94</v>
      </c>
      <c r="H24" s="5"/>
    </row>
    <row r="25" customFormat="false" ht="15" hidden="false" customHeight="false" outlineLevel="0" collapsed="false">
      <c r="A25" s="5" t="s">
        <v>100</v>
      </c>
      <c r="B25" s="5" t="s">
        <v>92</v>
      </c>
      <c r="C25" s="5" t="s">
        <v>38</v>
      </c>
      <c r="D25" s="5" t="s">
        <v>101</v>
      </c>
      <c r="E25" s="5" t="s">
        <v>52</v>
      </c>
      <c r="F25" s="5" t="s">
        <v>84</v>
      </c>
      <c r="G25" s="5" t="s">
        <v>94</v>
      </c>
      <c r="H25" s="5"/>
    </row>
    <row r="26" customFormat="false" ht="15" hidden="false" customHeight="false" outlineLevel="0" collapsed="false">
      <c r="A26" s="5" t="s">
        <v>102</v>
      </c>
      <c r="B26" s="5" t="s">
        <v>92</v>
      </c>
      <c r="C26" s="5" t="s">
        <v>103</v>
      </c>
      <c r="D26" s="5" t="s">
        <v>104</v>
      </c>
      <c r="E26" s="5" t="s">
        <v>105</v>
      </c>
      <c r="F26" s="5" t="s">
        <v>75</v>
      </c>
      <c r="G26" s="5" t="s">
        <v>65</v>
      </c>
      <c r="H26" s="5"/>
    </row>
    <row r="27" customFormat="false" ht="15" hidden="false" customHeight="false" outlineLevel="0" collapsed="false">
      <c r="A27" s="5" t="s">
        <v>106</v>
      </c>
      <c r="B27" s="5" t="s">
        <v>92</v>
      </c>
      <c r="C27" s="5" t="s">
        <v>103</v>
      </c>
      <c r="D27" s="5" t="s">
        <v>107</v>
      </c>
      <c r="E27" s="5" t="s">
        <v>12</v>
      </c>
      <c r="F27" s="5" t="s">
        <v>19</v>
      </c>
      <c r="G27" s="5" t="s">
        <v>65</v>
      </c>
      <c r="H27" s="5"/>
    </row>
    <row r="28" customFormat="false" ht="15" hidden="false" customHeight="false" outlineLevel="0" collapsed="false">
      <c r="A28" s="5" t="s">
        <v>108</v>
      </c>
      <c r="B28" s="5" t="s">
        <v>92</v>
      </c>
      <c r="C28" s="5" t="s">
        <v>103</v>
      </c>
      <c r="D28" s="5" t="s">
        <v>109</v>
      </c>
      <c r="E28" s="5" t="s">
        <v>110</v>
      </c>
      <c r="F28" s="5" t="s">
        <v>111</v>
      </c>
      <c r="G28" s="5" t="s">
        <v>65</v>
      </c>
      <c r="H28" s="5"/>
    </row>
    <row r="30" customFormat="false" ht="15" hidden="false" customHeight="false" outlineLevel="0" collapsed="false">
      <c r="A30" s="6" t="s">
        <v>112</v>
      </c>
      <c r="B30" s="6" t="s">
        <v>113</v>
      </c>
      <c r="C30" s="6" t="n">
        <f aca="false">COUNTIF(B2:B28,"CRITICAL")</f>
        <v>8</v>
      </c>
      <c r="D30" s="6" t="s">
        <v>114</v>
      </c>
      <c r="E30" s="6" t="n">
        <f aca="false">COUNTIF(B2:B28,"HIGH")</f>
        <v>4</v>
      </c>
      <c r="F30" s="6" t="s">
        <v>115</v>
      </c>
      <c r="G30" s="6" t="n">
        <f aca="false">COUNTIF(B2:B28,"MEDIUM")</f>
        <v>8</v>
      </c>
    </row>
  </sheetData>
  <autoFilter ref="A1:H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9E0B"/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8"/>
    <col collapsed="false" customWidth="true" hidden="false" outlineLevel="0" max="3" min="3" style="0" width="25"/>
    <col collapsed="false" customWidth="true" hidden="false" outlineLevel="0" max="4" min="4" style="0" width="12"/>
    <col collapsed="false" customWidth="true" hidden="false" outlineLevel="0" max="5" min="5" style="0" width="35"/>
  </cols>
  <sheetData>
    <row r="1" customFormat="false" ht="15" hidden="false" customHeight="false" outlineLevel="0" collapsed="false">
      <c r="A1" s="1" t="s">
        <v>2</v>
      </c>
      <c r="B1" s="1" t="s">
        <v>3</v>
      </c>
      <c r="C1" s="1" t="s">
        <v>116</v>
      </c>
      <c r="D1" s="1" t="s">
        <v>1</v>
      </c>
      <c r="E1" s="1" t="s">
        <v>7</v>
      </c>
    </row>
    <row r="2" customFormat="false" ht="15" hidden="false" customHeight="false" outlineLevel="0" collapsed="false">
      <c r="A2" s="3" t="s">
        <v>117</v>
      </c>
      <c r="B2" s="3" t="s">
        <v>118</v>
      </c>
      <c r="C2" s="3" t="s">
        <v>119</v>
      </c>
      <c r="D2" s="3" t="s">
        <v>48</v>
      </c>
      <c r="E2" s="3" t="s">
        <v>120</v>
      </c>
    </row>
    <row r="3" customFormat="false" ht="15" hidden="false" customHeight="false" outlineLevel="0" collapsed="false">
      <c r="A3" s="3" t="s">
        <v>117</v>
      </c>
      <c r="B3" s="3" t="s">
        <v>121</v>
      </c>
      <c r="C3" s="3" t="s">
        <v>119</v>
      </c>
      <c r="D3" s="3" t="s">
        <v>48</v>
      </c>
      <c r="E3" s="3" t="s">
        <v>122</v>
      </c>
    </row>
    <row r="4" customFormat="false" ht="15" hidden="false" customHeight="false" outlineLevel="0" collapsed="false">
      <c r="A4" s="3" t="s">
        <v>117</v>
      </c>
      <c r="B4" s="3" t="s">
        <v>123</v>
      </c>
      <c r="C4" s="3" t="s">
        <v>119</v>
      </c>
      <c r="D4" s="3" t="s">
        <v>48</v>
      </c>
      <c r="E4" s="3" t="s">
        <v>122</v>
      </c>
    </row>
    <row r="5" customFormat="false" ht="15" hidden="false" customHeight="false" outlineLevel="0" collapsed="false">
      <c r="A5" s="3" t="s">
        <v>117</v>
      </c>
      <c r="B5" s="3" t="s">
        <v>124</v>
      </c>
      <c r="C5" s="3" t="s">
        <v>119</v>
      </c>
      <c r="D5" s="3" t="s">
        <v>48</v>
      </c>
      <c r="E5" s="3" t="s">
        <v>120</v>
      </c>
    </row>
    <row r="6" customFormat="false" ht="15" hidden="false" customHeight="false" outlineLevel="0" collapsed="false">
      <c r="A6" s="3" t="s">
        <v>125</v>
      </c>
      <c r="B6" s="3" t="s">
        <v>126</v>
      </c>
      <c r="C6" s="3" t="s">
        <v>119</v>
      </c>
      <c r="D6" s="3" t="s">
        <v>48</v>
      </c>
      <c r="E6" s="3" t="s">
        <v>127</v>
      </c>
    </row>
    <row r="7" customFormat="false" ht="15" hidden="false" customHeight="false" outlineLevel="0" collapsed="false">
      <c r="A7" s="3" t="s">
        <v>125</v>
      </c>
      <c r="B7" s="3" t="s">
        <v>128</v>
      </c>
      <c r="C7" s="3" t="s">
        <v>119</v>
      </c>
      <c r="D7" s="3" t="s">
        <v>48</v>
      </c>
      <c r="E7" s="3" t="s">
        <v>127</v>
      </c>
    </row>
    <row r="8" customFormat="false" ht="15" hidden="false" customHeight="false" outlineLevel="0" collapsed="false">
      <c r="A8" s="4" t="s">
        <v>129</v>
      </c>
      <c r="B8" s="4" t="s">
        <v>130</v>
      </c>
      <c r="C8" s="4" t="s">
        <v>119</v>
      </c>
      <c r="D8" s="4" t="s">
        <v>63</v>
      </c>
      <c r="E8" s="4" t="s">
        <v>131</v>
      </c>
    </row>
    <row r="9" customFormat="false" ht="15" hidden="false" customHeight="false" outlineLevel="0" collapsed="false">
      <c r="A9" s="4" t="s">
        <v>129</v>
      </c>
      <c r="B9" s="4" t="s">
        <v>132</v>
      </c>
      <c r="C9" s="4" t="s">
        <v>119</v>
      </c>
      <c r="D9" s="4" t="s">
        <v>63</v>
      </c>
      <c r="E9" s="4" t="s">
        <v>131</v>
      </c>
    </row>
    <row r="10" customFormat="false" ht="15" hidden="false" customHeight="false" outlineLevel="0" collapsed="false">
      <c r="A10" s="4" t="s">
        <v>129</v>
      </c>
      <c r="B10" s="4" t="s">
        <v>133</v>
      </c>
      <c r="C10" s="4" t="s">
        <v>119</v>
      </c>
      <c r="D10" s="4" t="s">
        <v>63</v>
      </c>
      <c r="E10" s="4" t="s">
        <v>134</v>
      </c>
    </row>
    <row r="11" customFormat="false" ht="15" hidden="false" customHeight="false" outlineLevel="0" collapsed="false">
      <c r="A11" s="4" t="s">
        <v>129</v>
      </c>
      <c r="B11" s="4" t="s">
        <v>135</v>
      </c>
      <c r="C11" s="4" t="s">
        <v>119</v>
      </c>
      <c r="D11" s="4" t="s">
        <v>63</v>
      </c>
      <c r="E11" s="4" t="s">
        <v>136</v>
      </c>
    </row>
    <row r="12" customFormat="false" ht="15" hidden="false" customHeight="false" outlineLevel="0" collapsed="false">
      <c r="A12" s="3" t="s">
        <v>137</v>
      </c>
      <c r="B12" s="3" t="s">
        <v>138</v>
      </c>
      <c r="C12" s="3" t="s">
        <v>139</v>
      </c>
      <c r="D12" s="3" t="s">
        <v>48</v>
      </c>
      <c r="E12" s="3" t="s">
        <v>140</v>
      </c>
    </row>
    <row r="13" customFormat="false" ht="15" hidden="false" customHeight="false" outlineLevel="0" collapsed="false">
      <c r="A13" s="3" t="s">
        <v>137</v>
      </c>
      <c r="B13" s="3" t="s">
        <v>141</v>
      </c>
      <c r="C13" s="3" t="s">
        <v>142</v>
      </c>
      <c r="D13" s="3" t="s">
        <v>48</v>
      </c>
      <c r="E13" s="3" t="s">
        <v>143</v>
      </c>
    </row>
    <row r="14" customFormat="false" ht="15" hidden="false" customHeight="false" outlineLevel="0" collapsed="false">
      <c r="A14" s="4" t="s">
        <v>137</v>
      </c>
      <c r="B14" s="4" t="s">
        <v>144</v>
      </c>
      <c r="C14" s="4" t="s">
        <v>145</v>
      </c>
      <c r="D14" s="4" t="s">
        <v>63</v>
      </c>
      <c r="E14" s="4" t="s">
        <v>146</v>
      </c>
    </row>
    <row r="15" customFormat="false" ht="15" hidden="false" customHeight="false" outlineLevel="0" collapsed="false">
      <c r="A15" s="4" t="s">
        <v>137</v>
      </c>
      <c r="B15" s="4" t="s">
        <v>147</v>
      </c>
      <c r="C15" s="4" t="s">
        <v>148</v>
      </c>
      <c r="D15" s="4" t="s">
        <v>63</v>
      </c>
      <c r="E15" s="4" t="s">
        <v>149</v>
      </c>
    </row>
    <row r="16" customFormat="false" ht="15" hidden="false" customHeight="false" outlineLevel="0" collapsed="false">
      <c r="A16" s="4" t="s">
        <v>137</v>
      </c>
      <c r="B16" s="4" t="s">
        <v>150</v>
      </c>
      <c r="C16" s="4" t="s">
        <v>151</v>
      </c>
      <c r="D16" s="4" t="s">
        <v>63</v>
      </c>
      <c r="E16" s="4" t="s">
        <v>152</v>
      </c>
    </row>
    <row r="17" customFormat="false" ht="15" hidden="false" customHeight="false" outlineLevel="0" collapsed="false">
      <c r="A17" s="5" t="s">
        <v>153</v>
      </c>
      <c r="B17" s="5" t="s">
        <v>154</v>
      </c>
      <c r="C17" s="5" t="s">
        <v>155</v>
      </c>
      <c r="D17" s="5" t="s">
        <v>92</v>
      </c>
      <c r="E17" s="5"/>
    </row>
    <row r="18" customFormat="false" ht="15" hidden="false" customHeight="false" outlineLevel="0" collapsed="false">
      <c r="A18" s="5" t="s">
        <v>153</v>
      </c>
      <c r="B18" s="5" t="s">
        <v>156</v>
      </c>
      <c r="C18" s="5" t="s">
        <v>155</v>
      </c>
      <c r="D18" s="5" t="s">
        <v>92</v>
      </c>
      <c r="E18" s="5"/>
    </row>
    <row r="19" customFormat="false" ht="15" hidden="false" customHeight="false" outlineLevel="0" collapsed="false">
      <c r="A19" s="5" t="s">
        <v>153</v>
      </c>
      <c r="B19" s="5" t="s">
        <v>157</v>
      </c>
      <c r="C19" s="5" t="s">
        <v>158</v>
      </c>
      <c r="D19" s="5" t="s">
        <v>92</v>
      </c>
      <c r="E19" s="5" t="s">
        <v>159</v>
      </c>
    </row>
    <row r="20" customFormat="false" ht="15" hidden="false" customHeight="false" outlineLevel="0" collapsed="false">
      <c r="A20" s="5" t="s">
        <v>153</v>
      </c>
      <c r="B20" s="5" t="s">
        <v>160</v>
      </c>
      <c r="C20" s="5" t="s">
        <v>158</v>
      </c>
      <c r="D20" s="5" t="s">
        <v>92</v>
      </c>
      <c r="E20" s="5"/>
    </row>
    <row r="21" customFormat="false" ht="15" hidden="false" customHeight="false" outlineLevel="0" collapsed="false">
      <c r="A21" s="4" t="s">
        <v>161</v>
      </c>
      <c r="B21" s="4" t="s">
        <v>162</v>
      </c>
      <c r="C21" s="4" t="s">
        <v>163</v>
      </c>
      <c r="D21" s="4" t="s">
        <v>63</v>
      </c>
      <c r="E21" s="4" t="s">
        <v>164</v>
      </c>
    </row>
    <row r="22" customFormat="false" ht="15" hidden="false" customHeight="false" outlineLevel="0" collapsed="false">
      <c r="A22" s="4" t="s">
        <v>161</v>
      </c>
      <c r="B22" s="4" t="s">
        <v>165</v>
      </c>
      <c r="C22" s="4" t="s">
        <v>163</v>
      </c>
      <c r="D22" s="4" t="s">
        <v>63</v>
      </c>
      <c r="E22" s="4" t="s">
        <v>164</v>
      </c>
    </row>
    <row r="23" customFormat="false" ht="15" hidden="false" customHeight="false" outlineLevel="0" collapsed="false">
      <c r="A23" s="5" t="s">
        <v>161</v>
      </c>
      <c r="B23" s="5" t="s">
        <v>166</v>
      </c>
      <c r="C23" s="5" t="s">
        <v>167</v>
      </c>
      <c r="D23" s="5" t="s">
        <v>92</v>
      </c>
      <c r="E23" s="5" t="s">
        <v>168</v>
      </c>
    </row>
    <row r="24" customFormat="false" ht="15" hidden="false" customHeight="false" outlineLevel="0" collapsed="false">
      <c r="A24" s="5" t="s">
        <v>161</v>
      </c>
      <c r="B24" s="5" t="s">
        <v>169</v>
      </c>
      <c r="C24" s="5" t="s">
        <v>163</v>
      </c>
      <c r="D24" s="5" t="s">
        <v>92</v>
      </c>
      <c r="E24" s="5"/>
    </row>
    <row r="25" customFormat="false" ht="15" hidden="false" customHeight="false" outlineLevel="0" collapsed="false">
      <c r="A25" s="5" t="s">
        <v>161</v>
      </c>
      <c r="B25" s="5" t="s">
        <v>170</v>
      </c>
      <c r="C25" s="5" t="s">
        <v>171</v>
      </c>
      <c r="D25" s="5" t="s">
        <v>92</v>
      </c>
      <c r="E25" s="5"/>
    </row>
    <row r="26" customFormat="false" ht="15" hidden="false" customHeight="false" outlineLevel="0" collapsed="false">
      <c r="A26" s="5" t="s">
        <v>161</v>
      </c>
      <c r="B26" s="5" t="s">
        <v>172</v>
      </c>
      <c r="C26" s="5" t="s">
        <v>173</v>
      </c>
      <c r="D26" s="5" t="s">
        <v>92</v>
      </c>
      <c r="E26" s="5" t="s">
        <v>174</v>
      </c>
    </row>
    <row r="27" customFormat="false" ht="15" hidden="false" customHeight="false" outlineLevel="0" collapsed="false">
      <c r="A27" s="3" t="s">
        <v>175</v>
      </c>
      <c r="B27" s="3" t="s">
        <v>176</v>
      </c>
      <c r="C27" s="3" t="s">
        <v>177</v>
      </c>
      <c r="D27" s="3" t="s">
        <v>48</v>
      </c>
      <c r="E27" s="3" t="s">
        <v>178</v>
      </c>
    </row>
    <row r="28" customFormat="false" ht="15" hidden="false" customHeight="false" outlineLevel="0" collapsed="false">
      <c r="A28" s="4" t="s">
        <v>175</v>
      </c>
      <c r="B28" s="4" t="s">
        <v>179</v>
      </c>
      <c r="C28" s="4" t="s">
        <v>177</v>
      </c>
      <c r="D28" s="4" t="s">
        <v>63</v>
      </c>
      <c r="E28" s="4" t="s">
        <v>180</v>
      </c>
    </row>
  </sheetData>
  <autoFilter ref="A1:E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82F6"/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1" t="s">
        <v>2</v>
      </c>
      <c r="B1" s="1" t="s">
        <v>181</v>
      </c>
      <c r="C1" s="1" t="s">
        <v>5</v>
      </c>
      <c r="D1" s="1" t="s">
        <v>1</v>
      </c>
      <c r="E1" s="1" t="s">
        <v>6</v>
      </c>
    </row>
    <row r="2" customFormat="false" ht="15" hidden="false" customHeight="false" outlineLevel="0" collapsed="false">
      <c r="A2" s="3" t="s">
        <v>182</v>
      </c>
      <c r="B2" s="3" t="n">
        <v>42</v>
      </c>
      <c r="C2" s="3" t="s">
        <v>183</v>
      </c>
      <c r="D2" s="3" t="s">
        <v>48</v>
      </c>
      <c r="E2" s="3" t="s">
        <v>94</v>
      </c>
    </row>
    <row r="3" customFormat="false" ht="15" hidden="false" customHeight="false" outlineLevel="0" collapsed="false">
      <c r="A3" s="3" t="s">
        <v>184</v>
      </c>
      <c r="B3" s="3" t="n">
        <v>30</v>
      </c>
      <c r="C3" s="3" t="s">
        <v>111</v>
      </c>
      <c r="D3" s="3" t="s">
        <v>48</v>
      </c>
      <c r="E3" s="3" t="s">
        <v>94</v>
      </c>
    </row>
    <row r="4" customFormat="false" ht="15" hidden="false" customHeight="false" outlineLevel="0" collapsed="false">
      <c r="A4" s="4" t="s">
        <v>185</v>
      </c>
      <c r="B4" s="4" t="n">
        <v>10</v>
      </c>
      <c r="C4" s="4" t="s">
        <v>111</v>
      </c>
      <c r="D4" s="4" t="s">
        <v>63</v>
      </c>
      <c r="E4" s="4" t="s">
        <v>94</v>
      </c>
    </row>
    <row r="5" customFormat="false" ht="15" hidden="false" customHeight="false" outlineLevel="0" collapsed="false">
      <c r="A5" s="4" t="s">
        <v>186</v>
      </c>
      <c r="B5" s="4" t="n">
        <v>20</v>
      </c>
      <c r="C5" s="4" t="s">
        <v>187</v>
      </c>
      <c r="D5" s="4" t="s">
        <v>63</v>
      </c>
      <c r="E5" s="4" t="s">
        <v>94</v>
      </c>
    </row>
    <row r="6" customFormat="false" ht="15" hidden="false" customHeight="false" outlineLevel="0" collapsed="false">
      <c r="A6" s="4" t="s">
        <v>188</v>
      </c>
      <c r="B6" s="4" t="n">
        <v>5</v>
      </c>
      <c r="C6" s="4" t="s">
        <v>75</v>
      </c>
      <c r="D6" s="4" t="s">
        <v>63</v>
      </c>
      <c r="E6" s="4" t="s">
        <v>94</v>
      </c>
    </row>
    <row r="7" customFormat="false" ht="15" hidden="false" customHeight="false" outlineLevel="0" collapsed="false">
      <c r="A7" s="4" t="s">
        <v>189</v>
      </c>
      <c r="B7" s="4" t="n">
        <v>10</v>
      </c>
      <c r="C7" s="4" t="s">
        <v>190</v>
      </c>
      <c r="D7" s="4" t="s">
        <v>63</v>
      </c>
      <c r="E7" s="4" t="s">
        <v>94</v>
      </c>
    </row>
    <row r="8" customFormat="false" ht="15" hidden="false" customHeight="false" outlineLevel="0" collapsed="false">
      <c r="A8" s="3" t="s">
        <v>191</v>
      </c>
      <c r="B8" s="3" t="n">
        <v>0</v>
      </c>
      <c r="C8" s="3" t="s">
        <v>111</v>
      </c>
      <c r="D8" s="3" t="s">
        <v>48</v>
      </c>
      <c r="E8" s="3" t="s">
        <v>94</v>
      </c>
    </row>
    <row r="9" customFormat="false" ht="15" hidden="false" customHeight="false" outlineLevel="0" collapsed="false">
      <c r="A9" s="4" t="s">
        <v>192</v>
      </c>
      <c r="B9" s="4" t="n">
        <v>0</v>
      </c>
      <c r="C9" s="4" t="s">
        <v>111</v>
      </c>
      <c r="D9" s="4" t="s">
        <v>63</v>
      </c>
      <c r="E9" s="4" t="s">
        <v>94</v>
      </c>
    </row>
    <row r="11" customFormat="false" ht="15" hidden="false" customHeight="false" outlineLevel="0" collapsed="false">
      <c r="A11" s="6" t="s">
        <v>193</v>
      </c>
      <c r="B11" s="6" t="n">
        <f aca="false">SUM(B2:B9)</f>
        <v>117</v>
      </c>
      <c r="C11" s="6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2026-04-12T15:25:55Z</dcterms:created>
  <dc:creator>openpyxl</dc:creator>
  <dc:description/>
  <dc:language>en-US</dc:language>
  <cp:lastModifiedBy/>
  <dcterms:modified xsi:type="dcterms:W3CDTF">2026-04-12T15:25:55Z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